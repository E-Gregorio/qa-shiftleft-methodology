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Ejecucion" sheetId="3" state="visible" r:id="rId3"/>
    <sheet xmlns:r="http://schemas.openxmlformats.org/officeDocument/2006/relationships" name="Defectos" sheetId="4" state="visible" r:id="rId4"/>
    <sheet xmlns:r="http://schemas.openxmlformats.org/officeDocument/2006/relationships" name="RTM" sheetId="5" state="visible" r:id="rId5"/>
    <sheet xmlns:r="http://schemas.openxmlformats.org/officeDocument/2006/relationships" name="Riesgos" sheetId="6" state="visible" r:id="rId6"/>
    <sheet xmlns:r="http://schemas.openxmlformats.org/officeDocument/2006/relationships" name="NoFunc" sheetId="7" state="visible" r:id="rId7"/>
    <sheet xmlns:r="http://schemas.openxmlformats.org/officeDocument/2006/relationships" name="Equipo_QA" sheetId="8" state="visible" r:id="rId8"/>
    <sheet xmlns:r="http://schemas.openxmlformats.org/officeDocument/2006/relationships" name="KPIs" sheetId="9" state="visible" r:id="rId9"/>
    <sheet xmlns:r="http://schemas.openxmlformats.org/officeDocument/2006/relationships" name="Listas" sheetId="10" state="visible" r:id="rId10"/>
    <sheet xmlns:r="http://schemas.openxmlformats.org/officeDocument/2006/relationships" name="README" sheetId="11" state="visible" r:id="rId11"/>
    <sheet xmlns:r="http://schemas.openxmlformats.org/officeDocument/2006/relationships" name="Aux" sheetId="12" state="visible" r:id="rId12"/>
  </sheets>
  <definedNames>
    <definedName name="_xlnm._FilterDatabase" localSheetId="1" hidden="1">'Plan'!$A$1:$B$2</definedName>
    <definedName name="_xlnm._FilterDatabase" localSheetId="2" hidden="1">'Ejecucion'!$A$1:$L$2</definedName>
    <definedName name="_xlnm._FilterDatabase" localSheetId="3" hidden="1">'Defectos'!$A$1:$M$2</definedName>
    <definedName name="_xlnm._FilterDatabase" localSheetId="4" hidden="1">'RTM'!$A$1:$L$2</definedName>
    <definedName name="_xlnm._FilterDatabase" localSheetId="5" hidden="1">'Riesgos'!$A$1:$K$2</definedName>
    <definedName name="_xlnm._FilterDatabase" localSheetId="6" hidden="1">'NoFunc'!$A$1:$F$2</definedName>
    <definedName name="_xlnm._FilterDatabase" localSheetId="7" hidden="1">'Equipo_QA'!$A$1:$H$2</definedName>
    <definedName name="_xlnm._FilterDatabase" localSheetId="8" hidden="1">'KPIs'!$A$1:$D$2</definedName>
    <definedName name="_xlnm._FilterDatabase" localSheetId="9" hidden="1">'Listas'!$A$1:$H$4</definedName>
    <definedName name="_xlnm._FilterDatabase" localSheetId="10" hidden="1">'README'!$A$1:$B$2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bl_Plan" displayName="tbl_Plan" ref="A1:B2" headerRowCount="1">
  <autoFilter ref="A1:B2"/>
  <tableColumns count="2">
    <tableColumn id="1" name="Sprint"/>
    <tableColumn id="2" name="TC_Planificados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_Ejecucion" displayName="tbl_Ejecucion" ref="A1:L2" headerRowCount="1">
  <autoFilter ref="A1:L2"/>
  <tableColumns count="12">
    <tableColumn id="1" name="Fecha"/>
    <tableColumn id="2" name="Proyecto"/>
    <tableColumn id="3" name="Sprint"/>
    <tableColumn id="4" name="TS_ID"/>
    <tableColumn id="5" name="TC_ID"/>
    <tableColumn id="6" name="REQ_ID"/>
    <tableColumn id="7" name="RSK_ID"/>
    <tableColumn id="8" name="Prioridad_TC"/>
    <tableColumn id="9" name="Resultado"/>
    <tableColumn id="10" name="Evidencia_URL"/>
    <tableColumn id="11" name="BUG_ID"/>
    <tableColumn id="12" name="QA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_Defectos" displayName="tbl_Defectos" ref="A1:M2" headerRowCount="1">
  <autoFilter ref="A1:M2"/>
  <tableColumns count="13">
    <tableColumn id="1" name="BUG_ID"/>
    <tableColumn id="2" name="Severidad"/>
    <tableColumn id="3" name="Prioridad"/>
    <tableColumn id="4" name="Estado"/>
    <tableColumn id="5" name="Fecha_Apertura"/>
    <tableColumn id="6" name="Fecha_Cierre"/>
    <tableColumn id="7" name="Reabierto"/>
    <tableColumn id="8" name="Módulo"/>
    <tableColumn id="9" name="Causa_Raíz"/>
    <tableColumn id="10" name="Story_ID"/>
    <tableColumn id="11" name="Sprint"/>
    <tableColumn id="12" name="Observaciones"/>
    <tableColumn id="13" name="Ambiente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_RTM" displayName="tbl_RTM" ref="A1:L2" headerRowCount="1">
  <autoFilter ref="A1:L2"/>
  <tableColumns count="12">
    <tableColumn id="1" name="Epic"/>
    <tableColumn id="2" name="US"/>
    <tableColumn id="3" name="TS_ID"/>
    <tableColumn id="4" name="TC_ID"/>
    <tableColumn id="5" name="REQ_ID"/>
    <tableColumn id="6" name="RSK_ID"/>
    <tableColumn id="7" name="Prioridad_TC"/>
    <tableColumn id="8" name="Estado_TC"/>
    <tableColumn id="9" name="Ultima_Ejecucion"/>
    <tableColumn id="10" name="BUG_ID"/>
    <tableColumn id="11" name="Evidencia_URL"/>
    <tableColumn id="12" name="Automatizado (Sí/No)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_Riesgos" displayName="tbl_Riesgos" ref="A1:K2" headerRowCount="1">
  <autoFilter ref="A1:K2"/>
  <tableColumns count="11">
    <tableColumn id="1" name="Riesgo_ID"/>
    <tableColumn id="2" name="Tipo"/>
    <tableColumn id="3" name="Descripción"/>
    <tableColumn id="4" name="P"/>
    <tableColumn id="5" name="I"/>
    <tableColumn id="6" name="R"/>
    <tableColumn id="7" name="Nivel"/>
    <tableColumn id="8" name="Estrategia"/>
    <tableColumn id="9" name="Owner"/>
    <tableColumn id="10" name="Estado"/>
    <tableColumn id="11" name="TC_Asociados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_NoFunc" displayName="tbl_NoFunc" ref="A1:F2" headerRowCount="1">
  <autoFilter ref="A1:F2"/>
  <tableColumns count="6">
    <tableColumn id="1" name="Fecha"/>
    <tableColumn id="2" name="Tipo"/>
    <tableColumn id="3" name="Escenario"/>
    <tableColumn id="4" name="Umbral"/>
    <tableColumn id="5" name="Valor"/>
    <tableColumn id="6" name="Resultado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_Equipo_QA" displayName="tbl_Equipo_QA" ref="A1:H2" headerRowCount="1">
  <autoFilter ref="A1:H2"/>
  <tableColumns count="8">
    <tableColumn id="1" name="Nombre"/>
    <tableColumn id="2" name="Rol"/>
    <tableColumn id="3" name="Seniority"/>
    <tableColumn id="4" name="Skills"/>
    <tableColumn id="5" name="% Asignación"/>
    <tableColumn id="6" name="Proyecto"/>
    <tableColumn id="7" name="RACI"/>
    <tableColumn id="8" name="Contacto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bl_KPIs" displayName="tbl_KPIs" ref="A1:D2" headerRowCount="1">
  <autoFilter ref="A1:D2"/>
  <tableColumns count="4">
    <tableColumn id="1" name="KPI"/>
    <tableColumn id="2" name="Descripción"/>
    <tableColumn id="3" name="Fórmula / Origen"/>
    <tableColumn id="4" name="Valor"/>
  </tableColumns>
  <tableStyleInfo name="TableStyleMedium9" showRowStripes="1" showColumnStripes="0"/>
</table>
</file>

<file path=xl/tables/table9.xml><?xml version="1.0" encoding="utf-8"?>
<table xmlns="http://schemas.openxmlformats.org/spreadsheetml/2006/main" id="9" name="tbl_Listas" displayName="tbl_Listas" ref="A1:H4" headerRowCount="1">
  <autoFilter ref="A1:H4"/>
  <tableColumns count="8">
    <tableColumn id="1" name="Prioridad_TC"/>
    <tableColumn id="2" name="Resultado"/>
    <tableColumn id="3" name="Severidad"/>
    <tableColumn id="4" name="Prioridad"/>
    <tableColumn id="5" name="Estado_Defecto"/>
    <tableColumn id="6" name="Tipo_Riesgo"/>
    <tableColumn id="7" name="Estrategia"/>
    <tableColumn id="8" name="SiNo"/>
  </tableColumns>
  <tableStyleInfo name="TableStyleMedium9" showRowStripes="1" showColumnStripes="0"/>
</table>
</file>

<file path=xl/tables/table10.xml><?xml version="1.0" encoding="utf-8"?>
<table xmlns="http://schemas.openxmlformats.org/spreadsheetml/2006/main" id="10" name="tbl_README" displayName="tbl_README" ref="A1:B2" headerRowCount="1">
  <autoFilter ref="A1:B2"/>
  <tableColumns count="2">
    <tableColumn id="1" name="Sección"/>
    <tableColumn id="2" name="Detall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EPIDATA · Dashboard QA</t>
        </is>
      </c>
    </row>
    <row r="3">
      <c r="A3" s="2" t="inlineStr">
        <is>
          <t>Sprint actual:</t>
        </is>
      </c>
      <c r="B3" t="inlineStr">
        <is>
          <t>Sprint 12</t>
        </is>
      </c>
    </row>
    <row r="5">
      <c r="A5" s="2" t="inlineStr">
        <is>
          <t>KPI</t>
        </is>
      </c>
      <c r="B5" s="2" t="inlineStr">
        <is>
          <t>Valor</t>
        </is>
      </c>
    </row>
    <row r="6">
      <c r="A6" t="inlineStr">
        <is>
          <t>Pass Rate</t>
        </is>
      </c>
      <c r="B6">
        <f>IFERROR(COUNTIF(Ejecucion!I:I,"Pasado")/COUNTIF(Ejecucion!I:I, "&lt;&gt;"),"")</f>
        <v/>
      </c>
    </row>
    <row r="7">
      <c r="A7" t="inlineStr">
        <is>
          <t>Ejecución vs Plan</t>
        </is>
      </c>
      <c r="B7">
        <f>IFERROR(COUNTA(Ejecucion!E:E)/VLOOKUP(B3,Plan!A:B,2,0),"")</f>
        <v/>
      </c>
    </row>
    <row r="8">
      <c r="A8" t="inlineStr">
        <is>
          <t>Defectos abiertos</t>
        </is>
      </c>
      <c r="B8">
        <f>COUNTIF(Defectos!D:D,"&lt;&gt;Cerrado")</f>
        <v/>
      </c>
    </row>
    <row r="9">
      <c r="A9" t="inlineStr">
        <is>
          <t>Tasa de Reapertura</t>
        </is>
      </c>
      <c r="B9">
        <f>IFERROR(COUNTIF(Defectos!G:G,"Sí")/COUNTIF(Defectos!A:A, "&lt;&gt;"),"")</f>
        <v/>
      </c>
    </row>
    <row r="10">
      <c r="A10" t="inlineStr">
        <is>
          <t>MTTR (días)</t>
        </is>
      </c>
      <c r="B10">
        <f>IFERROR(AVERAGEIF(Defectos!D:D,"Cerrado",Defectos!F:F-Defectos!E:E),"")</f>
        <v/>
      </c>
    </row>
    <row r="11">
      <c r="A11" t="inlineStr">
        <is>
          <t>Cobertura de Automatización</t>
        </is>
      </c>
      <c r="B11">
        <f>IFERROR(COUNTIF(RTM!L:L,"Sí")/COUNTIF(RTM!D:D, "&lt;&gt;"),"")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" t="inlineStr">
        <is>
          <t>Sprint</t>
        </is>
      </c>
      <c r="B1" s="3" t="inlineStr">
        <is>
          <t>TC_Planificados</t>
        </is>
      </c>
    </row>
    <row r="2">
      <c r="A2" t="inlineStr">
        <is>
          <t>Sprint 12</t>
        </is>
      </c>
      <c r="B2" t="n">
        <v>120</v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12" customWidth="1" min="11" max="11"/>
    <col width="16" customWidth="1" min="12" max="12"/>
  </cols>
  <sheetData>
    <row r="1">
      <c r="A1" s="3" t="inlineStr">
        <is>
          <t>Fecha</t>
        </is>
      </c>
      <c r="B1" s="3" t="inlineStr">
        <is>
          <t>Proyecto</t>
        </is>
      </c>
      <c r="C1" s="3" t="inlineStr">
        <is>
          <t>Sprint</t>
        </is>
      </c>
      <c r="D1" s="3" t="inlineStr">
        <is>
          <t>TS_ID</t>
        </is>
      </c>
      <c r="E1" s="3" t="inlineStr">
        <is>
          <t>TC_ID</t>
        </is>
      </c>
      <c r="F1" s="3" t="inlineStr">
        <is>
          <t>REQ_ID</t>
        </is>
      </c>
      <c r="G1" s="3" t="inlineStr">
        <is>
          <t>RSK_ID</t>
        </is>
      </c>
      <c r="H1" s="3" t="inlineStr">
        <is>
          <t>Prioridad_TC</t>
        </is>
      </c>
      <c r="I1" s="3" t="inlineStr">
        <is>
          <t>Resultado</t>
        </is>
      </c>
      <c r="J1" s="3" t="inlineStr">
        <is>
          <t>Evidencia_URL</t>
        </is>
      </c>
      <c r="K1" s="3" t="inlineStr">
        <is>
          <t>BUG_ID</t>
        </is>
      </c>
      <c r="L1" s="3" t="inlineStr">
        <is>
          <t>QA</t>
        </is>
      </c>
    </row>
    <row r="2">
      <c r="A2" t="inlineStr">
        <is>
          <t>2025-09-19</t>
        </is>
      </c>
      <c r="B2" t="inlineStr">
        <is>
          <t>Proyecto X</t>
        </is>
      </c>
      <c r="C2" t="inlineStr">
        <is>
          <t>Sprint 12</t>
        </is>
      </c>
      <c r="D2" t="inlineStr">
        <is>
          <t>TS-071</t>
        </is>
      </c>
      <c r="E2" t="inlineStr">
        <is>
          <t>TC-511</t>
        </is>
      </c>
      <c r="F2" t="inlineStr">
        <is>
          <t>REQ-71</t>
        </is>
      </c>
      <c r="G2" t="inlineStr">
        <is>
          <t>RSK-001</t>
        </is>
      </c>
      <c r="H2" t="inlineStr">
        <is>
          <t>Alta</t>
        </is>
      </c>
      <c r="I2" t="inlineStr">
        <is>
          <t>Pasado</t>
        </is>
      </c>
      <c r="J2" t="inlineStr">
        <is>
          <t>https://...</t>
        </is>
      </c>
      <c r="K2" t="inlineStr"/>
      <c r="L2" t="inlineStr">
        <is>
          <t>Elyer</t>
        </is>
      </c>
    </row>
  </sheetData>
  <autoFilter ref="A1:L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16" customWidth="1" min="8" max="8"/>
    <col width="16" customWidth="1" min="9" max="9"/>
    <col width="12" customWidth="1" min="10" max="10"/>
    <col width="12" customWidth="1" min="11" max="11"/>
    <col width="22" customWidth="1" min="12" max="12"/>
    <col width="12" customWidth="1" min="13" max="13"/>
  </cols>
  <sheetData>
    <row r="1">
      <c r="A1" s="3" t="inlineStr">
        <is>
          <t>BUG_ID</t>
        </is>
      </c>
      <c r="B1" s="3" t="inlineStr">
        <is>
          <t>Severidad</t>
        </is>
      </c>
      <c r="C1" s="3" t="inlineStr">
        <is>
          <t>Prioridad</t>
        </is>
      </c>
      <c r="D1" s="3" t="inlineStr">
        <is>
          <t>Estado</t>
        </is>
      </c>
      <c r="E1" s="3" t="inlineStr">
        <is>
          <t>Fecha_Apertura</t>
        </is>
      </c>
      <c r="F1" s="3" t="inlineStr">
        <is>
          <t>Fecha_Cierre</t>
        </is>
      </c>
      <c r="G1" s="3" t="inlineStr">
        <is>
          <t>Reabierto</t>
        </is>
      </c>
      <c r="H1" s="3" t="inlineStr">
        <is>
          <t>Módulo</t>
        </is>
      </c>
      <c r="I1" s="3" t="inlineStr">
        <is>
          <t>Causa_Raíz</t>
        </is>
      </c>
      <c r="J1" s="3" t="inlineStr">
        <is>
          <t>Story_ID</t>
        </is>
      </c>
      <c r="K1" s="3" t="inlineStr">
        <is>
          <t>Sprint</t>
        </is>
      </c>
      <c r="L1" s="3" t="inlineStr">
        <is>
          <t>Observaciones</t>
        </is>
      </c>
      <c r="M1" s="3" t="inlineStr">
        <is>
          <t>Ambiente</t>
        </is>
      </c>
    </row>
    <row r="2">
      <c r="A2" t="inlineStr">
        <is>
          <t>BUG-4312</t>
        </is>
      </c>
      <c r="B2" t="inlineStr">
        <is>
          <t>Alta</t>
        </is>
      </c>
      <c r="C2" t="inlineStr">
        <is>
          <t>P1</t>
        </is>
      </c>
      <c r="D2" t="inlineStr">
        <is>
          <t>Nuevo</t>
        </is>
      </c>
      <c r="E2" t="inlineStr">
        <is>
          <t>2025-09-19</t>
        </is>
      </c>
      <c r="F2" t="inlineStr"/>
      <c r="G2" t="inlineStr"/>
      <c r="H2" t="inlineStr">
        <is>
          <t>Autenticación</t>
        </is>
      </c>
      <c r="I2" t="inlineStr"/>
      <c r="J2" t="inlineStr">
        <is>
          <t>US-012</t>
        </is>
      </c>
      <c r="K2" t="inlineStr">
        <is>
          <t>Sprint 12</t>
        </is>
      </c>
      <c r="L2" t="inlineStr">
        <is>
          <t>Login rechaza usuario con @</t>
        </is>
      </c>
      <c r="M2" t="inlineStr">
        <is>
          <t>QA</t>
        </is>
      </c>
    </row>
  </sheetData>
  <autoFilter ref="A1:M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26" customWidth="1" min="11" max="11"/>
    <col width="14" customWidth="1" min="12" max="12"/>
  </cols>
  <sheetData>
    <row r="1">
      <c r="A1" s="3" t="inlineStr">
        <is>
          <t>Epic</t>
        </is>
      </c>
      <c r="B1" s="3" t="inlineStr">
        <is>
          <t>US</t>
        </is>
      </c>
      <c r="C1" s="3" t="inlineStr">
        <is>
          <t>TS_ID</t>
        </is>
      </c>
      <c r="D1" s="3" t="inlineStr">
        <is>
          <t>TC_ID</t>
        </is>
      </c>
      <c r="E1" s="3" t="inlineStr">
        <is>
          <t>REQ_ID</t>
        </is>
      </c>
      <c r="F1" s="3" t="inlineStr">
        <is>
          <t>RSK_ID</t>
        </is>
      </c>
      <c r="G1" s="3" t="inlineStr">
        <is>
          <t>Prioridad_TC</t>
        </is>
      </c>
      <c r="H1" s="3" t="inlineStr">
        <is>
          <t>Estado_TC</t>
        </is>
      </c>
      <c r="I1" s="3" t="inlineStr">
        <is>
          <t>Ultima_Ejecucion</t>
        </is>
      </c>
      <c r="J1" s="3" t="inlineStr">
        <is>
          <t>BUG_ID</t>
        </is>
      </c>
      <c r="K1" s="3" t="inlineStr">
        <is>
          <t>Evidencia_URL</t>
        </is>
      </c>
      <c r="L1" s="3" t="inlineStr">
        <is>
          <t>Automatizado (Sí/No)</t>
        </is>
      </c>
    </row>
    <row r="2">
      <c r="A2" t="inlineStr">
        <is>
          <t>EP_AUD_01</t>
        </is>
      </c>
      <c r="B2" t="inlineStr">
        <is>
          <t>US_71</t>
        </is>
      </c>
      <c r="C2" t="inlineStr">
        <is>
          <t>TS-071</t>
        </is>
      </c>
      <c r="D2" t="inlineStr">
        <is>
          <t>TC-511</t>
        </is>
      </c>
      <c r="E2" t="inlineStr">
        <is>
          <t>REQ-71</t>
        </is>
      </c>
      <c r="F2" t="inlineStr">
        <is>
          <t>RSK-001</t>
        </is>
      </c>
      <c r="G2" t="inlineStr">
        <is>
          <t>Alta</t>
        </is>
      </c>
      <c r="H2" t="inlineStr">
        <is>
          <t>Hecho</t>
        </is>
      </c>
      <c r="I2" t="inlineStr">
        <is>
          <t>2025-09-19</t>
        </is>
      </c>
      <c r="J2" t="inlineStr"/>
      <c r="K2" t="inlineStr">
        <is>
          <t>https://...</t>
        </is>
      </c>
      <c r="L2" t="inlineStr">
        <is>
          <t>Sí</t>
        </is>
      </c>
    </row>
  </sheetData>
  <autoFilter ref="A1:L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" customWidth="1" min="4" max="4"/>
    <col width="6" customWidth="1" min="5" max="5"/>
    <col width="8" customWidth="1" min="6" max="6"/>
    <col width="10" customWidth="1" min="7" max="7"/>
    <col width="16" customWidth="1" min="8" max="8"/>
    <col width="14" customWidth="1" min="9" max="9"/>
    <col width="12" customWidth="1" min="10" max="10"/>
    <col width="22" customWidth="1" min="11" max="11"/>
  </cols>
  <sheetData>
    <row r="1">
      <c r="A1" s="3" t="inlineStr">
        <is>
          <t>Riesgo_ID</t>
        </is>
      </c>
      <c r="B1" s="3" t="inlineStr">
        <is>
          <t>Tipo</t>
        </is>
      </c>
      <c r="C1" s="3" t="inlineStr">
        <is>
          <t>Descripción</t>
        </is>
      </c>
      <c r="D1" s="3" t="inlineStr">
        <is>
          <t>P</t>
        </is>
      </c>
      <c r="E1" s="3" t="inlineStr">
        <is>
          <t>I</t>
        </is>
      </c>
      <c r="F1" s="3" t="inlineStr">
        <is>
          <t>R</t>
        </is>
      </c>
      <c r="G1" s="3" t="inlineStr">
        <is>
          <t>Nivel</t>
        </is>
      </c>
      <c r="H1" s="3" t="inlineStr">
        <is>
          <t>Estrategia</t>
        </is>
      </c>
      <c r="I1" s="3" t="inlineStr">
        <is>
          <t>Owner</t>
        </is>
      </c>
      <c r="J1" s="3" t="inlineStr">
        <is>
          <t>Estado</t>
        </is>
      </c>
      <c r="K1" s="3" t="inlineStr">
        <is>
          <t>TC_Asociados</t>
        </is>
      </c>
    </row>
    <row r="2">
      <c r="A2" t="inlineStr">
        <is>
          <t>RSK-001</t>
        </is>
      </c>
      <c r="B2" t="inlineStr">
        <is>
          <t>Producto</t>
        </is>
      </c>
      <c r="C2" t="inlineStr">
        <is>
          <t>P95 &gt; 3s en checkout</t>
        </is>
      </c>
      <c r="D2" t="n">
        <v>4</v>
      </c>
      <c r="E2" t="n">
        <v>5</v>
      </c>
      <c r="F2">
        <f>D2*E2</f>
        <v/>
      </c>
      <c r="G2">
        <f>IF(F2&gt;=20,"Crítico",IF(F2&gt;=12,"Alto",IF(F2&gt;=6,"Medio","Bajo")))</f>
        <v/>
      </c>
      <c r="H2" t="inlineStr">
        <is>
          <t>Mitigar</t>
        </is>
      </c>
      <c r="I2" t="inlineStr">
        <is>
          <t>QA Perf</t>
        </is>
      </c>
      <c r="J2" t="inlineStr">
        <is>
          <t>Abierto</t>
        </is>
      </c>
      <c r="K2" t="inlineStr">
        <is>
          <t>TS-12/TC-301,304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Fecha</t>
        </is>
      </c>
      <c r="B1" s="3" t="inlineStr">
        <is>
          <t>Tipo</t>
        </is>
      </c>
      <c r="C1" s="3" t="inlineStr">
        <is>
          <t>Escenario</t>
        </is>
      </c>
      <c r="D1" s="3" t="inlineStr">
        <is>
          <t>Umbral</t>
        </is>
      </c>
      <c r="E1" s="3" t="inlineStr">
        <is>
          <t>Valor</t>
        </is>
      </c>
      <c r="F1" s="3" t="inlineStr">
        <is>
          <t>Resultado</t>
        </is>
      </c>
    </row>
    <row r="2">
      <c r="A2" t="inlineStr">
        <is>
          <t>2025-09-19</t>
        </is>
      </c>
      <c r="B2" t="inlineStr">
        <is>
          <t>Performance P95</t>
        </is>
      </c>
      <c r="C2" t="inlineStr">
        <is>
          <t>Checkout</t>
        </is>
      </c>
      <c r="D2" t="inlineStr">
        <is>
          <t>&lt;= 3s</t>
        </is>
      </c>
      <c r="E2" t="inlineStr">
        <is>
          <t>2.7s</t>
        </is>
      </c>
      <c r="F2" t="inlineStr">
        <is>
          <t>OK</t>
        </is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6" customWidth="1" min="4" max="4"/>
    <col width="12" customWidth="1" min="5" max="5"/>
    <col width="18" customWidth="1" min="6" max="6"/>
    <col width="14" customWidth="1" min="7" max="7"/>
    <col width="22" customWidth="1" min="8" max="8"/>
  </cols>
  <sheetData>
    <row r="1">
      <c r="A1" s="3" t="inlineStr">
        <is>
          <t>Nombre</t>
        </is>
      </c>
      <c r="B1" s="3" t="inlineStr">
        <is>
          <t>Rol</t>
        </is>
      </c>
      <c r="C1" s="3" t="inlineStr">
        <is>
          <t>Seniority</t>
        </is>
      </c>
      <c r="D1" s="3" t="inlineStr">
        <is>
          <t>Skills</t>
        </is>
      </c>
      <c r="E1" s="3" t="inlineStr">
        <is>
          <t>% Asignación</t>
        </is>
      </c>
      <c r="F1" s="3" t="inlineStr">
        <is>
          <t>Proyecto</t>
        </is>
      </c>
      <c r="G1" s="3" t="inlineStr">
        <is>
          <t>RACI</t>
        </is>
      </c>
      <c r="H1" s="3" t="inlineStr">
        <is>
          <t>Contacto</t>
        </is>
      </c>
    </row>
    <row r="2">
      <c r="A2" t="inlineStr">
        <is>
          <t>Elyer Maldonado</t>
        </is>
      </c>
      <c r="B2" t="inlineStr">
        <is>
          <t>QA Lead</t>
        </is>
      </c>
      <c r="C2" t="inlineStr">
        <is>
          <t>Sr</t>
        </is>
      </c>
      <c r="D2" t="inlineStr">
        <is>
          <t>Funcional, Auto, RBT</t>
        </is>
      </c>
      <c r="E2" t="inlineStr">
        <is>
          <t>100%</t>
        </is>
      </c>
      <c r="F2" t="inlineStr">
        <is>
          <t>Proyecto X</t>
        </is>
      </c>
      <c r="G2" t="inlineStr">
        <is>
          <t>A/R</t>
        </is>
      </c>
      <c r="H2" t="inlineStr">
        <is>
          <t>elyer@epidata.com</t>
        </is>
      </c>
    </row>
  </sheetData>
  <autoFilter ref="A1:H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KPI</t>
        </is>
      </c>
      <c r="B1" s="3" t="inlineStr">
        <is>
          <t>Descripción</t>
        </is>
      </c>
      <c r="C1" s="3" t="inlineStr">
        <is>
          <t>Fórmula / Origen</t>
        </is>
      </c>
      <c r="D1" s="3" t="inlineStr">
        <is>
          <t>Valor</t>
        </is>
      </c>
    </row>
    <row r="2">
      <c r="A2" t="inlineStr">
        <is>
          <t>Pass Rate</t>
        </is>
      </c>
      <c r="B2" t="inlineStr">
        <is>
          <t>TC Pasados / Ejecutados</t>
        </is>
      </c>
      <c r="C2">
        <f>IFERROR(COUNTIF(Ejecucion!I:I,"Pasado")/COUNTIF(Ejecucion!I:I, "&lt;&gt;"),"")</f>
        <v/>
      </c>
      <c r="D2" t="inlineStr"/>
    </row>
  </sheetData>
  <autoFilter ref="A1:D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Prioridad_TC</t>
        </is>
      </c>
      <c r="B1" s="3" t="inlineStr">
        <is>
          <t>Resultado</t>
        </is>
      </c>
      <c r="C1" s="3" t="inlineStr">
        <is>
          <t>Severidad</t>
        </is>
      </c>
      <c r="D1" s="3" t="inlineStr">
        <is>
          <t>Prioridad</t>
        </is>
      </c>
      <c r="E1" s="3" t="inlineStr">
        <is>
          <t>Estado_Defecto</t>
        </is>
      </c>
      <c r="F1" s="3" t="inlineStr">
        <is>
          <t>Tipo_Riesgo</t>
        </is>
      </c>
      <c r="G1" s="3" t="inlineStr">
        <is>
          <t>Estrategia</t>
        </is>
      </c>
      <c r="H1" s="3" t="inlineStr">
        <is>
          <t>SiNo</t>
        </is>
      </c>
    </row>
    <row r="2">
      <c r="A2" t="inlineStr">
        <is>
          <t>Alta</t>
        </is>
      </c>
      <c r="B2" t="inlineStr">
        <is>
          <t>Pasado</t>
        </is>
      </c>
      <c r="C2" t="inlineStr">
        <is>
          <t>Blocker</t>
        </is>
      </c>
      <c r="D2" t="inlineStr">
        <is>
          <t>P1</t>
        </is>
      </c>
      <c r="E2" t="inlineStr">
        <is>
          <t>Nuevo</t>
        </is>
      </c>
      <c r="F2" t="inlineStr">
        <is>
          <t>Producto</t>
        </is>
      </c>
      <c r="G2" t="inlineStr">
        <is>
          <t>Evitar</t>
        </is>
      </c>
      <c r="H2" t="inlineStr">
        <is>
          <t>Sí</t>
        </is>
      </c>
    </row>
    <row r="3">
      <c r="A3" t="inlineStr">
        <is>
          <t>Media</t>
        </is>
      </c>
      <c r="B3" t="inlineStr">
        <is>
          <t>Fallido</t>
        </is>
      </c>
      <c r="C3" t="inlineStr">
        <is>
          <t>Alta</t>
        </is>
      </c>
      <c r="D3" t="inlineStr">
        <is>
          <t>P2</t>
        </is>
      </c>
      <c r="E3" t="inlineStr">
        <is>
          <t>Cerrado</t>
        </is>
      </c>
      <c r="F3" t="inlineStr">
        <is>
          <t>Proyecto</t>
        </is>
      </c>
      <c r="G3" t="inlineStr">
        <is>
          <t>Mitigar</t>
        </is>
      </c>
      <c r="H3" t="inlineStr">
        <is>
          <t>No</t>
        </is>
      </c>
    </row>
    <row r="4">
      <c r="A4" t="inlineStr">
        <is>
          <t>Baja</t>
        </is>
      </c>
      <c r="B4" t="inlineStr">
        <is>
          <t>Bloqueado</t>
        </is>
      </c>
      <c r="C4" t="inlineStr">
        <is>
          <t>Media</t>
        </is>
      </c>
      <c r="D4" t="inlineStr">
        <is>
          <t>P3</t>
        </is>
      </c>
      <c r="E4" t="inlineStr">
        <is>
          <t>En progreso</t>
        </is>
      </c>
      <c r="F4" t="inlineStr"/>
      <c r="G4" t="inlineStr">
        <is>
          <t>Transferir</t>
        </is>
      </c>
      <c r="H4" t="inlineStr"/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Sección</t>
        </is>
      </c>
      <c r="B1" s="3" t="inlineStr">
        <is>
          <t>Detalle</t>
        </is>
      </c>
    </row>
    <row r="2">
      <c r="A2" t="inlineStr">
        <is>
          <t>Uso</t>
        </is>
      </c>
      <c r="B2" t="inlineStr">
        <is>
          <t>Completar 'Ejecucion', 'Defectos', 'Riesgos' y 'RTM' a diario.</t>
        </is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2025-09-19T17:03:52Z</dcterms:created>
  <dcterms:modified xmlns:dcterms="http://purl.org/dc/terms/" xmlns:xsi="http://www.w3.org/2001/XMLSchema-instance" xsi:type="dcterms:W3CDTF">2025-09-19T17:03:52Z</dcterms:modified>
</cp:coreProperties>
</file>